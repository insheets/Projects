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Excel Files\Personal\Projects\13. Professional Charts &amp; Visuals\Habit+Productivity Tracker\"/>
    </mc:Choice>
  </mc:AlternateContent>
  <xr:revisionPtr revIDLastSave="0" documentId="13_ncr:1_{D4975E54-EE83-4C0C-900F-5BFA63F20B8E}" xr6:coauthVersionLast="47" xr6:coauthVersionMax="47" xr10:uidLastSave="{00000000-0000-0000-0000-000000000000}"/>
  <bookViews>
    <workbookView xWindow="-108" yWindow="-108" windowWidth="23256" windowHeight="13176" xr2:uid="{3FE4B488-F7BC-410B-A4AD-D45E741BCE74}"/>
  </bookViews>
  <sheets>
    <sheet name="Tracker" sheetId="1" r:id="rId1"/>
    <sheet name="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I27" i="1" a="1"/>
  <c r="I28" i="1" s="1"/>
  <c r="J27" i="1" a="1"/>
  <c r="J28" i="1" s="1"/>
  <c r="K27" i="1" a="1"/>
  <c r="K28" i="1" s="1"/>
  <c r="L27" i="1" a="1"/>
  <c r="L28" i="1" s="1"/>
  <c r="M27" i="1" a="1"/>
  <c r="M28" i="1" s="1"/>
  <c r="N27" i="1" a="1"/>
  <c r="N28" i="1" s="1"/>
  <c r="O27" i="1" a="1"/>
  <c r="O28" i="1" s="1"/>
  <c r="P27" i="1" a="1"/>
  <c r="P28" i="1" s="1"/>
  <c r="Q27" i="1" a="1"/>
  <c r="Q28" i="1" s="1"/>
  <c r="R27" i="1" a="1"/>
  <c r="R28" i="1" s="1"/>
  <c r="S27" i="1" a="1"/>
  <c r="S28" i="1" s="1"/>
  <c r="T27" i="1" a="1"/>
  <c r="T28" i="1" s="1"/>
  <c r="U27" i="1" a="1"/>
  <c r="U28" i="1" s="1"/>
  <c r="V27" i="1" a="1"/>
  <c r="V28" i="1" s="1"/>
  <c r="W27" i="1" a="1"/>
  <c r="W28" i="1" s="1"/>
  <c r="X27" i="1" a="1"/>
  <c r="X28" i="1" s="1"/>
  <c r="Y27" i="1" a="1"/>
  <c r="Y28" i="1" s="1"/>
  <c r="Z27" i="1" a="1"/>
  <c r="Z28" i="1" s="1"/>
  <c r="AA27" i="1" a="1"/>
  <c r="AA28" i="1" s="1"/>
  <c r="AB27" i="1" a="1"/>
  <c r="AB28" i="1" s="1"/>
  <c r="AC27" i="1" a="1"/>
  <c r="AC28" i="1" s="1"/>
  <c r="AD27" i="1" a="1"/>
  <c r="AD28" i="1" s="1"/>
  <c r="AE27" i="1" a="1"/>
  <c r="AE28" i="1" s="1"/>
  <c r="AF27" i="1" a="1"/>
  <c r="AF28" i="1" s="1"/>
  <c r="AG27" i="1" a="1"/>
  <c r="AG28" i="1" s="1"/>
  <c r="AH27" i="1" a="1"/>
  <c r="AH28" i="1" s="1"/>
  <c r="AI27" i="1" a="1"/>
  <c r="AI28" i="1" s="1"/>
  <c r="AJ27" i="1" a="1"/>
  <c r="AJ28" i="1" s="1"/>
  <c r="AK27" i="1" a="1"/>
  <c r="AK28" i="1" s="1"/>
  <c r="AL27" i="1" a="1"/>
  <c r="AL28" i="1" s="1"/>
  <c r="H27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H15" i="1" a="1"/>
  <c r="D4" i="2" l="1" a="1"/>
  <c r="H28" i="1"/>
  <c r="H13" i="1" s="1" a="1"/>
  <c r="D7" i="1" a="1"/>
  <c r="D6" i="1" a="1"/>
  <c r="D5" i="1" a="1"/>
  <c r="D9" i="1" a="1"/>
  <c r="F25" i="1" a="1"/>
  <c r="F19" i="1" a="1"/>
  <c r="H14" i="1" a="1"/>
  <c r="F21" i="1" a="1"/>
  <c r="F22" i="1" a="1"/>
  <c r="F26" i="1" a="1"/>
  <c r="F17" i="1" a="1"/>
  <c r="F24" i="1" a="1"/>
  <c r="F18" i="1" a="1"/>
  <c r="F23" i="1" a="1"/>
  <c r="F20" i="1" a="1"/>
  <c r="D5" i="2" l="1"/>
  <c r="D7" i="2"/>
  <c r="D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<sst xmlns="http://schemas.openxmlformats.org/spreadsheetml/2006/main" count="85" uniqueCount="74">
  <si>
    <t>Month:</t>
  </si>
  <si>
    <t>August</t>
  </si>
  <si>
    <t>Completed Today:</t>
  </si>
  <si>
    <t>Most Completed:</t>
  </si>
  <si>
    <t>Needs Attention</t>
  </si>
  <si>
    <t>Best Day This Month:</t>
  </si>
  <si>
    <t>Best Current Streak:</t>
  </si>
  <si>
    <t>Daily Habits</t>
  </si>
  <si>
    <t>Category</t>
  </si>
  <si>
    <t>Daily Goals</t>
  </si>
  <si>
    <t>Streak</t>
  </si>
  <si>
    <t>Complete</t>
  </si>
  <si>
    <t>Drink Water</t>
  </si>
  <si>
    <t>Exercise</t>
  </si>
  <si>
    <t>Read</t>
  </si>
  <si>
    <t>Meditate</t>
  </si>
  <si>
    <t xml:space="preserve">No Junk Food </t>
  </si>
  <si>
    <t>No Doomscrolling</t>
  </si>
  <si>
    <t>Deep Work</t>
  </si>
  <si>
    <t xml:space="preserve">Stretching </t>
  </si>
  <si>
    <t>Sleep in Time</t>
  </si>
  <si>
    <t>Health</t>
  </si>
  <si>
    <t>Fitness</t>
  </si>
  <si>
    <t>Growth</t>
  </si>
  <si>
    <t>Mind</t>
  </si>
  <si>
    <t>Minf</t>
  </si>
  <si>
    <t>Work</t>
  </si>
  <si>
    <t>Learn Skills</t>
  </si>
  <si>
    <t>16 Glasses</t>
  </si>
  <si>
    <t>45 Minutes</t>
  </si>
  <si>
    <t>2 Chapters</t>
  </si>
  <si>
    <t>5 Minutes</t>
  </si>
  <si>
    <t>2 Hours</t>
  </si>
  <si>
    <t>1 Hours</t>
  </si>
  <si>
    <t>15 Minutes</t>
  </si>
  <si>
    <t>8 Hours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</si>
  <si>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</si>
  <si>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</si>
  <si>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</si>
  <si>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</si>
  <si>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</si>
  <si>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</si>
  <si>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</si>
  <si>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</si>
  <si>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</si>
  <si>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</si>
  <si>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</si>
  <si>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</si>
  <si>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</si>
  <si>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</si>
  <si>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</si>
  <si>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</si>
  <si>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</si>
  <si>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</si>
  <si>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</si>
  <si>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</si>
  <si>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</si>
  <si>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</si>
  <si>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</si>
  <si>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</si>
  <si>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</si>
  <si>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</si>
  <si>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</si>
  <si>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</si>
  <si>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</si>
  <si>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</si>
  <si>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</si>
  <si>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</si>
  <si>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% Completion</t>
  </si>
  <si>
    <t>Doughnut Chart</t>
  </si>
  <si>
    <t>Completed</t>
  </si>
  <si>
    <t>To Complete</t>
  </si>
  <si>
    <t>HABIT TRACKER</t>
  </si>
  <si>
    <t>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</si>
</sst>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dd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35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9" fontId="0" fillId="0" borderId="0" xfId="1" applyFont="1"/>
    <xf numFmtId="0" fontId="2" fillId="0" borderId="2" xfId="0" applyFont="1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5" fillId="2" borderId="0" xfId="0" applyFont="1" applyFill="1" applyAlignment="1">
      <alignment vertical="center"/>
    </xf>
    <xf numFmtId="0" fontId="0" fillId="4" borderId="0" xfId="0" applyFill="1"/>
    <xf numFmtId="0" fontId="4" fillId="4" borderId="0" xfId="0" applyFont="1" applyFill="1"/>
    <xf numFmtId="0" fontId="0" fillId="5" borderId="0" xfId="0" applyFill="1"/>
    <xf numFmtId="165" fontId="0" fillId="5" borderId="0" xfId="0" applyNumberFormat="1" applyFill="1" applyAlignment="1">
      <alignment horizontal="left" vertical="top"/>
    </xf>
    <xf numFmtId="0" fontId="7" fillId="5" borderId="0" xfId="0" applyFont="1" applyFill="1"/>
    <xf numFmtId="0" fontId="7" fillId="5" borderId="0" xfId="0" applyFont="1" applyFill="1" applyAlignment="1">
      <alignment horizontal="right"/>
    </xf>
    <xf numFmtId="0" fontId="7" fillId="5" borderId="0" xfId="0" applyFont="1" applyFill="1" applyAlignment="1">
      <alignment horizontal="right" vertical="top"/>
    </xf>
    <xf numFmtId="0" fontId="7" fillId="5" borderId="1" xfId="0" applyFont="1" applyFill="1" applyBorder="1"/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9" fontId="0" fillId="5" borderId="0" xfId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0" xfId="0" applyFont="1" applyFill="1" applyAlignment="1">
      <alignment horizontal="left"/>
    </xf>
    <xf numFmtId="0" fontId="8" fillId="5" borderId="4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64" fontId="7" fillId="5" borderId="4" xfId="0" applyNumberFormat="1" applyFont="1" applyFill="1" applyBorder="1" applyAlignment="1">
      <alignment horizontal="center"/>
    </xf>
    <xf numFmtId="164" fontId="7" fillId="5" borderId="0" xfId="0" applyNumberFormat="1" applyFont="1" applyFill="1" applyBorder="1" applyAlignment="1">
      <alignment horizontal="center"/>
    </xf>
    <xf numFmtId="164" fontId="7" fillId="5" borderId="5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6" fillId="5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5" borderId="4" xfId="1" applyFont="1" applyFill="1" applyBorder="1" applyAlignment="1">
      <alignment horizontal="center"/>
    </xf>
    <xf numFmtId="9" fontId="0" fillId="5" borderId="0" xfId="1" applyFont="1" applyFill="1" applyBorder="1" applyAlignment="1">
      <alignment horizontal="center"/>
    </xf>
    <xf numFmtId="9" fontId="0" fillId="5" borderId="5" xfId="1" applyFont="1" applyFill="1" applyBorder="1" applyAlignment="1">
      <alignment horizontal="center"/>
    </xf>
    <xf numFmtId="0" fontId="9" fillId="2" borderId="0" xfId="0" applyFont="1" applyFill="1"/>
  </cellXfs>
  <cellStyles count="2">
    <cellStyle name="Normal" xfId="0" builtinId="0"/>
    <cellStyle name="Percent" xfId="1" builtinId="5"/>
  </cellStyles>
  <dxfs count="77">
    <dxf>
      <fill>
        <patternFill>
          <bgColor theme="7" tint="0.79998168889431442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/>
        </right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theme="0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03335513407448E-3"/>
          <c:y val="7.8014184397163122E-2"/>
          <c:w val="0.95187789223757024"/>
          <c:h val="0.843971631205673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Tracker!$H$28:$AL$28</c:f>
              <c:numCache>
                <c:formatCode>0%</c:formatCode>
                <c:ptCount val="31"/>
                <c:pt idx="0">
                  <c:v>0.45454545454545453</c:v>
                </c:pt>
                <c:pt idx="1">
                  <c:v>0.54545454545454541</c:v>
                </c:pt>
                <c:pt idx="2">
                  <c:v>0.45454545454545453</c:v>
                </c:pt>
                <c:pt idx="3">
                  <c:v>0.54545454545454541</c:v>
                </c:pt>
                <c:pt idx="4">
                  <c:v>0.63636363636363635</c:v>
                </c:pt>
                <c:pt idx="5">
                  <c:v>0.72727272727272729</c:v>
                </c:pt>
                <c:pt idx="6">
                  <c:v>0.72727272727272729</c:v>
                </c:pt>
                <c:pt idx="7">
                  <c:v>0.63636363636363635</c:v>
                </c:pt>
                <c:pt idx="8">
                  <c:v>0.72727272727272729</c:v>
                </c:pt>
                <c:pt idx="9">
                  <c:v>0.72727272727272729</c:v>
                </c:pt>
                <c:pt idx="10">
                  <c:v>0.72727272727272729</c:v>
                </c:pt>
                <c:pt idx="11">
                  <c:v>0.72727272727272729</c:v>
                </c:pt>
                <c:pt idx="12">
                  <c:v>0.72727272727272729</c:v>
                </c:pt>
                <c:pt idx="13">
                  <c:v>0.72727272727272729</c:v>
                </c:pt>
                <c:pt idx="14">
                  <c:v>0.63636363636363635</c:v>
                </c:pt>
                <c:pt idx="15">
                  <c:v>0.72727272727272729</c:v>
                </c:pt>
                <c:pt idx="16">
                  <c:v>0.72727272727272729</c:v>
                </c:pt>
                <c:pt idx="17">
                  <c:v>0.72727272727272729</c:v>
                </c:pt>
                <c:pt idx="18">
                  <c:v>0.72727272727272729</c:v>
                </c:pt>
                <c:pt idx="19">
                  <c:v>0.72727272727272729</c:v>
                </c:pt>
                <c:pt idx="20">
                  <c:v>0.72727272727272729</c:v>
                </c:pt>
                <c:pt idx="21">
                  <c:v>0.81818181818181823</c:v>
                </c:pt>
                <c:pt idx="22">
                  <c:v>0.72727272727272729</c:v>
                </c:pt>
                <c:pt idx="23">
                  <c:v>0.72727272727272729</c:v>
                </c:pt>
                <c:pt idx="24">
                  <c:v>0.72727272727272729</c:v>
                </c:pt>
                <c:pt idx="25">
                  <c:v>0.72727272727272729</c:v>
                </c:pt>
                <c:pt idx="26">
                  <c:v>0.72727272727272729</c:v>
                </c:pt>
                <c:pt idx="27">
                  <c:v>0.72727272727272729</c:v>
                </c:pt>
                <c:pt idx="28">
                  <c:v>0.72727272727272729</c:v>
                </c:pt>
                <c:pt idx="29">
                  <c:v>0.72727272727272729</c:v>
                </c:pt>
                <c:pt idx="30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6-4274-874E-E7576748DA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59985712"/>
        <c:axId val="2045264559"/>
      </c:barChart>
      <c:catAx>
        <c:axId val="59985712"/>
        <c:scaling>
          <c:orientation val="minMax"/>
        </c:scaling>
        <c:delete val="1"/>
        <c:axPos val="b"/>
        <c:majorTickMark val="none"/>
        <c:minorTickMark val="none"/>
        <c:tickLblPos val="nextTo"/>
        <c:crossAx val="2045264559"/>
        <c:crosses val="autoZero"/>
        <c:auto val="1"/>
        <c:lblAlgn val="ctr"/>
        <c:lblOffset val="100"/>
        <c:noMultiLvlLbl val="0"/>
      </c:catAx>
      <c:valAx>
        <c:axId val="204526455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998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B0F0"/>
                </a:solidFill>
              </a:rPr>
              <a:t>Progress Today</a:t>
            </a:r>
          </a:p>
        </c:rich>
      </c:tx>
      <c:layout>
        <c:manualLayout>
          <c:xMode val="edge"/>
          <c:yMode val="edge"/>
          <c:x val="0.16610414276104932"/>
          <c:y val="4.1876069839096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7075719308672E-2"/>
          <c:y val="0.17923297562488233"/>
          <c:w val="0.83944250482840588"/>
          <c:h val="0.7508937173992491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35-4C9A-87D3-071BCD8823B1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35-4C9A-87D3-071BCD8823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Fig!$C$4:$C$5</c:f>
              <c:strCache>
                <c:ptCount val="2"/>
                <c:pt idx="0">
                  <c:v>Completed</c:v>
                </c:pt>
                <c:pt idx="1">
                  <c:v>To Complete</c:v>
                </c:pt>
              </c:strCache>
            </c:strRef>
          </c:cat>
          <c:val>
            <c:numRef>
              <c:f>Fig!$D$4:$D$5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5-4C9A-87D3-071BCD8823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</xdr:row>
      <xdr:rowOff>60960</xdr:rowOff>
    </xdr:from>
    <xdr:to>
      <xdr:col>38</xdr:col>
      <xdr:colOff>548640</xdr:colOff>
      <xdr:row>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68563-3D53-06BD-9E3B-A25A874DC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</xdr:row>
      <xdr:rowOff>53340</xdr:rowOff>
    </xdr:from>
    <xdr:to>
      <xdr:col>6</xdr:col>
      <xdr:colOff>518160</xdr:colOff>
      <xdr:row>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ADF64-FCA8-4EDC-9877-C8E94496E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259080</xdr:colOff>
      <xdr:row>5</xdr:row>
      <xdr:rowOff>106680</xdr:rowOff>
    </xdr:from>
    <xdr:to>
      <xdr:col>6</xdr:col>
      <xdr:colOff>457200</xdr:colOff>
      <xdr:row>7</xdr:row>
      <xdr:rowOff>137160</xdr:rowOff>
    </xdr:to>
    <xdr:sp macro="" textlink="Fig!$D$7">
      <xdr:nvSpPr>
        <xdr:cNvPr id="4" name="TextBox 3">
          <a:extLst>
            <a:ext uri="{FF2B5EF4-FFF2-40B4-BE49-F238E27FC236}">
              <a16:creationId xmlns:a16="http://schemas.microsoft.com/office/drawing/2014/main" id="{B3E469E6-4042-1374-9463-ADB33E1C3C15}"/>
            </a:ext>
          </a:extLst>
        </xdr:cNvPr>
        <xdr:cNvSpPr txBox="1"/>
      </xdr:nvSpPr>
      <xdr:spPr>
        <a:xfrm>
          <a:off x="2567940" y="1379220"/>
          <a:ext cx="134874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C4FBF54-B1FE-48E5-B4C5-2FC041556C91}" type="TxLink">
            <a:rPr lang="en-US" sz="1600" b="1" i="0" u="none" strike="noStrike">
              <a:solidFill>
                <a:schemeClr val="accent4"/>
              </a:solidFill>
              <a:latin typeface="Aptos Narrow"/>
            </a:rPr>
            <a:pPr algn="ctr"/>
            <a:t>80%</a:t>
          </a:fld>
          <a:endParaRPr lang="en-US" sz="16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182880</xdr:colOff>
      <xdr:row>2</xdr:row>
      <xdr:rowOff>0</xdr:rowOff>
    </xdr:from>
    <xdr:to>
      <xdr:col>4</xdr:col>
      <xdr:colOff>15240</xdr:colOff>
      <xdr:row>8</xdr:row>
      <xdr:rowOff>525780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8E133DA-F001-6637-BB5E-41BB98C0204A}"/>
            </a:ext>
          </a:extLst>
        </xdr:cNvPr>
        <xdr:cNvSpPr/>
      </xdr:nvSpPr>
      <xdr:spPr>
        <a:xfrm>
          <a:off x="182880" y="640080"/>
          <a:ext cx="2141220" cy="1706880"/>
        </a:xfrm>
        <a:prstGeom prst="roundRect">
          <a:avLst>
            <a:gd name="adj" fmla="val 0"/>
          </a:avLst>
        </a:prstGeom>
        <a:noFill/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11</xdr:row>
      <xdr:rowOff>0</xdr:rowOff>
    </xdr:from>
    <xdr:to>
      <xdr:col>38</xdr:col>
      <xdr:colOff>601980</xdr:colOff>
      <xdr:row>28</xdr:row>
      <xdr:rowOff>175260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9291581-A86A-82A4-2789-9FE784302E3D}"/>
            </a:ext>
          </a:extLst>
        </xdr:cNvPr>
        <xdr:cNvSpPr/>
      </xdr:nvSpPr>
      <xdr:spPr>
        <a:xfrm>
          <a:off x="190500" y="2720340"/>
          <a:ext cx="15971520" cy="3101340"/>
        </a:xfrm>
        <a:prstGeom prst="roundRect">
          <a:avLst>
            <a:gd name="adj" fmla="val 830"/>
          </a:avLst>
        </a:prstGeom>
        <a:noFill/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AC419-DAE1-407A-BEE0-83EDE9F9AFBC}" name="tblTracker" displayName="tblTracker" ref="C16:AL27" totalsRowCount="1" headerRowDxfId="69" dataDxfId="67" totalsRowDxfId="68">
  <autoFilter ref="C16:AL26" xr:uid="{C6DAC419-DAE1-407A-BEE0-83EDE9F9AF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77AB930D-BEC2-476A-8F36-CFC906799854}" name="Daily Habits" totalsRowLabel="Total" dataDxfId="76" totalsRowDxfId="75"/>
    <tableColumn id="2" xr3:uid="{789A19F4-8A95-4899-8A9B-C78DE9C8CF9A}" name="Category" dataDxfId="74" totalsRowDxfId="73"/>
    <tableColumn id="3" xr3:uid="{923B7CBE-EC44-4D2A-A10A-B3D6B80BD679}" name="Daily Goals" dataDxfId="47" totalsRowDxfId="72"/>
    <tableColumn id="4" xr3:uid="{6FC2AC54-06D8-4633-9238-071B6A0CDC9D}" name="Streak" dataDxfId="46" totalsRowDxfId="71">
      <calculatedColumnFormula array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calculatedColumnFormula>
    </tableColumn>
    <tableColumn id="5" xr3:uid="{F46C2594-497C-41DD-A010-044C8BC8CDBA}" name="Complete" dataDxfId="44" totalsRowDxfId="70">
      <calculatedColumnFormula array="1">SUM(--tblTracker[[#This Row],[1]:[31]])</calculatedColumnFormula>
    </tableColumn>
    <tableColumn id="6" xr3:uid="{3C3F4DB7-255A-46CC-AAB5-E09893766346}" name="1" totalsRowFunction="custom" dataDxfId="45" totalsRowDxfId="66">
      <totalsRowFormula array="1">SUM(--tblTracker[1])</totalsRowFormula>
    </tableColumn>
    <tableColumn id="7" xr3:uid="{903E38D1-4186-4B49-AF39-B27C55F7013F}" name="2" totalsRowFunction="custom" dataDxfId="56" totalsRowDxfId="65">
      <totalsRowFormula array="1">SUM(--tblTracker[2])</totalsRowFormula>
    </tableColumn>
    <tableColumn id="8" xr3:uid="{AF28162D-71C6-4BA6-8074-B8BDB2E106D5}" name="3" totalsRowFunction="custom" dataDxfId="55" totalsRowDxfId="64">
      <totalsRowFormula array="1">SUM(--tblTracker[3])</totalsRowFormula>
    </tableColumn>
    <tableColumn id="9" xr3:uid="{16F55317-8A5D-48A8-BF95-9D60B9695567}" name="4" totalsRowFunction="custom" dataDxfId="54" totalsRowDxfId="63">
      <totalsRowFormula array="1">SUM(--tblTracker[4])</totalsRowFormula>
    </tableColumn>
    <tableColumn id="10" xr3:uid="{D99C5C77-AE27-40DF-806D-C16DB8FA0B6A}" name="5" totalsRowFunction="custom" dataDxfId="53" totalsRowDxfId="62">
      <totalsRowFormula array="1">SUM(--tblTracker[5])</totalsRowFormula>
    </tableColumn>
    <tableColumn id="11" xr3:uid="{825B1DF7-22CF-43E4-BF92-45CF43F15513}" name="6" totalsRowFunction="custom" dataDxfId="52" totalsRowDxfId="61">
      <totalsRowFormula array="1">SUM(--tblTracker[6])</totalsRowFormula>
    </tableColumn>
    <tableColumn id="12" xr3:uid="{F4712CB2-9590-48C6-A562-6E24716AB451}" name="7" totalsRowFunction="custom" dataDxfId="51" totalsRowDxfId="60">
      <totalsRowFormula array="1">SUM(--tblTracker[7])</totalsRowFormula>
    </tableColumn>
    <tableColumn id="13" xr3:uid="{DA0F7C43-9059-4AEF-A946-105D2FE6B018}" name="8" totalsRowFunction="custom" dataDxfId="42" totalsRowDxfId="41">
      <totalsRowFormula array="1">SUM(--tblTracker[8])</totalsRowFormula>
    </tableColumn>
    <tableColumn id="14" xr3:uid="{51CF7E1C-AB15-437D-BE64-95206CB5C024}" name="9" totalsRowFunction="custom" dataDxfId="40" totalsRowDxfId="39">
      <totalsRowFormula array="1">SUM(--tblTracker[9])</totalsRowFormula>
    </tableColumn>
    <tableColumn id="15" xr3:uid="{8AAFF853-2944-4656-BC0C-257F1B4F1E23}" name="10" totalsRowFunction="custom" dataDxfId="38" totalsRowDxfId="37">
      <totalsRowFormula array="1">SUM(--tblTracker[10])</totalsRowFormula>
    </tableColumn>
    <tableColumn id="16" xr3:uid="{7DE346B1-77CC-498F-B423-8C3E02CDF697}" name="11" totalsRowFunction="custom" dataDxfId="36" totalsRowDxfId="35">
      <totalsRowFormula array="1">SUM(--tblTracker[11])</totalsRowFormula>
    </tableColumn>
    <tableColumn id="17" xr3:uid="{D921EAC5-FBA9-47E1-B190-F42C8485A81A}" name="12" totalsRowFunction="custom" dataDxfId="34" totalsRowDxfId="33">
      <totalsRowFormula array="1">SUM(--tblTracker[12])</totalsRowFormula>
    </tableColumn>
    <tableColumn id="18" xr3:uid="{DEEFF867-CF15-4E9D-90F5-9E6D20B6EF60}" name="13" totalsRowFunction="custom" dataDxfId="32" totalsRowDxfId="31">
      <totalsRowFormula array="1">SUM(--tblTracker[13])</totalsRowFormula>
    </tableColumn>
    <tableColumn id="19" xr3:uid="{C4F217F9-5C89-4385-9D54-EFB041A58E4D}" name="14" totalsRowFunction="custom" dataDxfId="30" totalsRowDxfId="29">
      <totalsRowFormula array="1">SUM(--tblTracker[14])</totalsRowFormula>
    </tableColumn>
    <tableColumn id="20" xr3:uid="{148251A8-93B6-4382-837A-1434C0DF5784}" name="15" totalsRowFunction="custom" dataDxfId="28" totalsRowDxfId="27">
      <totalsRowFormula array="1">SUM(--tblTracker[15])</totalsRowFormula>
    </tableColumn>
    <tableColumn id="21" xr3:uid="{7FE85286-C5A9-4AD3-B1D9-AE9A5650C0A0}" name="16" totalsRowFunction="custom" dataDxfId="26" totalsRowDxfId="25">
      <totalsRowFormula array="1">SUM(--tblTracker[16])</totalsRowFormula>
    </tableColumn>
    <tableColumn id="22" xr3:uid="{F895BFAA-71BD-4404-9D10-72A5DFF3DF90}" name="17" totalsRowFunction="custom" dataDxfId="24" totalsRowDxfId="23">
      <totalsRowFormula array="1">SUM(--tblTracker[17])</totalsRowFormula>
    </tableColumn>
    <tableColumn id="23" xr3:uid="{6F27772F-0BDE-4B75-AF66-94956BB10B7E}" name="18" totalsRowFunction="custom" dataDxfId="22" totalsRowDxfId="21">
      <totalsRowFormula array="1">SUM(--tblTracker[18])</totalsRowFormula>
    </tableColumn>
    <tableColumn id="24" xr3:uid="{81C41671-BA10-4BFF-8466-295611484917}" name="19" totalsRowFunction="custom" dataDxfId="20" totalsRowDxfId="19">
      <totalsRowFormula array="1">SUM(--tblTracker[19])</totalsRowFormula>
    </tableColumn>
    <tableColumn id="25" xr3:uid="{950DCF79-6C09-4273-873C-529C1808BB09}" name="20" totalsRowFunction="custom" dataDxfId="18" totalsRowDxfId="17">
      <totalsRowFormula array="1">SUM(--tblTracker[20])</totalsRowFormula>
    </tableColumn>
    <tableColumn id="26" xr3:uid="{00395A71-8D48-4BB0-933D-11A83F6C2A1D}" name="21" totalsRowFunction="custom" dataDxfId="16" totalsRowDxfId="15">
      <totalsRowFormula array="1">SUM(--tblTracker[21])</totalsRowFormula>
    </tableColumn>
    <tableColumn id="27" xr3:uid="{7E4968DA-BFC5-4620-896F-916EB52DAC77}" name="22" totalsRowFunction="custom" dataDxfId="14" totalsRowDxfId="13">
      <totalsRowFormula array="1">SUM(--tblTracker[22])</totalsRowFormula>
    </tableColumn>
    <tableColumn id="28" xr3:uid="{DA3E6F91-1357-4004-9A41-71847C6E6491}" name="23" totalsRowFunction="custom" dataDxfId="12" totalsRowDxfId="11">
      <totalsRowFormula array="1">SUM(--tblTracker[23])</totalsRowFormula>
    </tableColumn>
    <tableColumn id="29" xr3:uid="{E929CE64-5692-4E46-8BA2-DAA1BB30AC95}" name="24" totalsRowFunction="custom" dataDxfId="10" totalsRowDxfId="9">
      <totalsRowFormula array="1">SUM(--tblTracker[24])</totalsRowFormula>
    </tableColumn>
    <tableColumn id="30" xr3:uid="{9A024F93-5004-4487-B0AC-C31F3F36A1FB}" name="25" totalsRowFunction="custom" dataDxfId="8" totalsRowDxfId="7">
      <totalsRowFormula array="1">SUM(--tblTracker[25])</totalsRowFormula>
    </tableColumn>
    <tableColumn id="31" xr3:uid="{12CF5E7D-11AF-4701-87BB-586083B700F2}" name="26" totalsRowFunction="custom" dataDxfId="6" totalsRowDxfId="5">
      <totalsRowFormula array="1">SUM(--tblTracker[26])</totalsRowFormula>
    </tableColumn>
    <tableColumn id="32" xr3:uid="{D0B1B2B5-F6FE-4286-80F8-CFADBBFA8748}" name="27" totalsRowFunction="custom" dataDxfId="4" totalsRowDxfId="3">
      <totalsRowFormula array="1">SUM(--tblTracker[27])</totalsRowFormula>
    </tableColumn>
    <tableColumn id="33" xr3:uid="{3CD9FACD-EF7F-47CD-8CA2-7954C4C99742}" name="28" totalsRowFunction="custom" dataDxfId="2" totalsRowDxfId="1">
      <totalsRowFormula array="1">SUM(--tblTracker[28])</totalsRowFormula>
    </tableColumn>
    <tableColumn id="34" xr3:uid="{090084A8-F868-4772-B5A5-734C392E465D}" name="29" totalsRowFunction="custom" dataDxfId="50" totalsRowDxfId="59">
      <totalsRowFormula array="1">SUM(--tblTracker[29])</totalsRowFormula>
    </tableColumn>
    <tableColumn id="35" xr3:uid="{4F6A8728-B756-4CB5-91D5-FA2B7FF2BBE6}" name="30" totalsRowFunction="custom" dataDxfId="49" totalsRowDxfId="58">
      <totalsRowFormula array="1">SUM(--tblTracker[30])</totalsRowFormula>
    </tableColumn>
    <tableColumn id="36" xr3:uid="{8E868408-1A74-47F1-8AB1-57242C261030}" name="31" totalsRowFunction="custom" dataDxfId="48" totalsRowDxfId="57">
      <totalsRowFormula array="1">SUM(--tblTracker[31])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93B0-6BFD-49B9-8D4C-59E4499C7E46}">
  <sheetPr codeName="Sheet1">
    <tabColor theme="5" tint="0.79998168889431442"/>
  </sheetPr>
  <dimension ref="A1:AM29"/>
  <sheetViews>
    <sheetView tabSelected="1" zoomScaleNormal="100" workbookViewId="0">
      <selection activeCell="D10" sqref="D10"/>
    </sheetView>
  </sheetViews>
  <sheetFormatPr defaultRowHeight="14.4" x14ac:dyDescent="0.3"/>
  <cols>
    <col min="1" max="1" width="2.88671875" style="8" customWidth="1"/>
    <col min="2" max="2" width="2.77734375" style="8" customWidth="1"/>
    <col min="3" max="3" width="17.5546875" style="8" bestFit="1" customWidth="1"/>
    <col min="4" max="4" width="10.44140625" style="8" bestFit="1" customWidth="1"/>
    <col min="5" max="5" width="10.33203125" style="8" bestFit="1" customWidth="1"/>
    <col min="6" max="6" width="6.44140625" style="8" bestFit="1" customWidth="1"/>
    <col min="7" max="7" width="9.21875" style="8" bestFit="1" customWidth="1"/>
    <col min="8" max="8" width="7.77734375" style="8" bestFit="1" customWidth="1"/>
    <col min="9" max="37" width="5.21875" style="8" bestFit="1" customWidth="1"/>
    <col min="38" max="38" width="8" style="8" bestFit="1" customWidth="1"/>
    <col min="39" max="16384" width="8.88671875" style="8"/>
  </cols>
  <sheetData>
    <row r="1" spans="1:39" s="5" customFormat="1" ht="44.4" customHeight="1" x14ac:dyDescent="0.9">
      <c r="A1" s="6"/>
      <c r="B1" s="6"/>
      <c r="C1" s="7" t="s">
        <v>72</v>
      </c>
      <c r="E1" s="41" t="s">
        <v>73</v>
      </c>
    </row>
    <row r="2" spans="1:39" ht="6" customHeight="1" x14ac:dyDescent="0.3"/>
    <row r="3" spans="1:39" hidden="1" x14ac:dyDescent="0.3"/>
    <row r="4" spans="1:39" ht="35.4" customHeight="1" x14ac:dyDescent="0.3">
      <c r="B4" s="10"/>
      <c r="C4" s="13" t="s">
        <v>0</v>
      </c>
      <c r="D4" s="10" t="s">
        <v>1</v>
      </c>
    </row>
    <row r="5" spans="1:39" x14ac:dyDescent="0.3">
      <c r="B5" s="10"/>
      <c r="C5" s="13" t="s">
        <v>2</v>
      </c>
      <c r="D5" s="10" t="str" cm="1">
        <f t="array" aca="1" ref="D5" ca="1">_xlfn.XLOOKUP(TODAY(),H15:AL15,tblTracker[[#Totals],[1]:[31]],0)
&amp;" of "&amp;
COUNTA(tblTracker[Daily Habits])</f>
        <v>8 of 10</v>
      </c>
    </row>
    <row r="6" spans="1:39" x14ac:dyDescent="0.3">
      <c r="B6" s="10"/>
      <c r="C6" s="13" t="s">
        <v>3</v>
      </c>
      <c r="D6" s="10" t="str" cm="1">
        <f t="array" ref="D6">IF(SUM(tblTracker[[#Totals],[1]:[31]])=0,"",
_xlfn.LET(
_xlpm.data, tblTracker[Complete],
_xlpm.most, MAX(_xlpm.data),
_xlfn.XLOOKUP(_xlpm.most, _xlpm.data, tblTracker[Daily Habits], "")))</f>
        <v>Drink Water</v>
      </c>
    </row>
    <row r="7" spans="1:39" x14ac:dyDescent="0.3">
      <c r="B7" s="10"/>
      <c r="C7" s="13" t="s">
        <v>4</v>
      </c>
      <c r="D7" s="10" t="str" cm="1">
        <f t="array" ref="D7">IF(SUM(tblTracker[[#Totals],[1]:[31]])=0,"",
_xlfn.LET(
_xlpm.data, tblTracker[Complete],
_xlpm.least, MIN(_xlpm.data),
_xlfn.XLOOKUP(_xlpm.least, _xlpm.data, tblTracker[Daily Habits], "")))</f>
        <v>Exercise</v>
      </c>
    </row>
    <row r="8" spans="1:39" x14ac:dyDescent="0.3">
      <c r="B8" s="10"/>
      <c r="C8" s="13" t="s">
        <v>6</v>
      </c>
      <c r="D8" s="10" t="str" cm="1">
        <f t="array" aca="1" ref="D8" ca="1">IF(SUM(tblTracker[[#Totals],[1]:[31]])=0,"",
_xlfn.LET(
_xlpm.data, tblTracker[Streak],
_xlpm.mstreak, MAX(_xlpm.data),
_xlfn.XLOOKUP(_xlpm.mstreak, _xlpm.data, tblTracker[Daily Habits], "")))</f>
        <v xml:space="preserve">Stretching </v>
      </c>
    </row>
    <row r="9" spans="1:39" ht="42" customHeight="1" x14ac:dyDescent="0.3">
      <c r="B9" s="10"/>
      <c r="C9" s="14" t="s">
        <v>5</v>
      </c>
      <c r="D9" s="11" cm="1">
        <f t="array" aca="1" ref="D9" ca="1">IF(SUM(tblTracker[[#Totals],[1]:[31]])=0,"",
_xlfn.LET(
_xlpm.data, tblTracker[[#Totals],[1]:[31]],
_xlpm.bestDay, MAX(_xlpm.data),
_xlfn.XLOOKUP(_xlpm.bestDay, _xlpm.data, H15:AL15, "")))</f>
        <v>46256</v>
      </c>
    </row>
    <row r="10" spans="1:39" x14ac:dyDescent="0.3">
      <c r="D10" s="9"/>
    </row>
    <row r="12" spans="1:39" x14ac:dyDescent="0.3">
      <c r="B12" s="10"/>
      <c r="C12" s="10"/>
      <c r="D12" s="10"/>
      <c r="E12" s="10"/>
      <c r="F12" s="10"/>
      <c r="G12" s="1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0"/>
    </row>
    <row r="13" spans="1:39" x14ac:dyDescent="0.3">
      <c r="B13" s="10"/>
      <c r="C13" s="10"/>
      <c r="D13" s="10"/>
      <c r="E13" s="10"/>
      <c r="F13" s="10"/>
      <c r="G13" s="10"/>
      <c r="H13" s="20" t="str" cm="1">
        <f t="array" ref="H13:AL13">_xlfn.XLOOKUP(H28:AL28,{0,0.25,0.5,0.75,1},{"🌕","🌔","🌓","🌒","🌑"},,-1)</f>
        <v>🌔</v>
      </c>
      <c r="I13" s="20" t="str">
        <v>🌓</v>
      </c>
      <c r="J13" s="20" t="str">
        <v>🌔</v>
      </c>
      <c r="K13" s="20" t="str">
        <v>🌓</v>
      </c>
      <c r="L13" s="20" t="str">
        <v>🌓</v>
      </c>
      <c r="M13" s="20" t="str">
        <v>🌓</v>
      </c>
      <c r="N13" s="20" t="str">
        <v>🌓</v>
      </c>
      <c r="O13" s="23" t="str">
        <v>🌓</v>
      </c>
      <c r="P13" s="24" t="str">
        <v>🌓</v>
      </c>
      <c r="Q13" s="24" t="str">
        <v>🌓</v>
      </c>
      <c r="R13" s="24" t="str">
        <v>🌓</v>
      </c>
      <c r="S13" s="24" t="str">
        <v>🌓</v>
      </c>
      <c r="T13" s="24" t="str">
        <v>🌓</v>
      </c>
      <c r="U13" s="25" t="str">
        <v>🌓</v>
      </c>
      <c r="V13" s="23" t="str">
        <v>🌓</v>
      </c>
      <c r="W13" s="24" t="str">
        <v>🌓</v>
      </c>
      <c r="X13" s="24" t="str">
        <v>🌓</v>
      </c>
      <c r="Y13" s="24" t="str">
        <v>🌓</v>
      </c>
      <c r="Z13" s="24" t="str">
        <v>🌓</v>
      </c>
      <c r="AA13" s="24" t="str">
        <v>🌓</v>
      </c>
      <c r="AB13" s="25" t="str">
        <v>🌓</v>
      </c>
      <c r="AC13" s="23" t="str">
        <v>🌒</v>
      </c>
      <c r="AD13" s="24" t="str">
        <v>🌓</v>
      </c>
      <c r="AE13" s="24" t="str">
        <v>🌓</v>
      </c>
      <c r="AF13" s="24" t="str">
        <v>🌓</v>
      </c>
      <c r="AG13" s="24" t="str">
        <v>🌓</v>
      </c>
      <c r="AH13" s="24" t="str">
        <v>🌓</v>
      </c>
      <c r="AI13" s="25" t="str">
        <v>🌓</v>
      </c>
      <c r="AJ13" s="20" t="str">
        <v>🌓</v>
      </c>
      <c r="AK13" s="20" t="str">
        <v>🌓</v>
      </c>
      <c r="AL13" s="20" t="str">
        <v>🌒</v>
      </c>
      <c r="AM13" s="10"/>
    </row>
    <row r="14" spans="1:39" x14ac:dyDescent="0.3">
      <c r="B14" s="10"/>
      <c r="C14" s="12"/>
      <c r="D14" s="12"/>
      <c r="E14" s="12"/>
      <c r="F14" s="12"/>
      <c r="G14" s="12"/>
      <c r="H14" s="17" t="str" cm="1">
        <f t="array" aca="1" ref="H14:AL14" ca="1">LEFT(TEXT(_xlfn.ANCHORARRAY(H15),"ddd"),1)</f>
        <v>S</v>
      </c>
      <c r="I14" s="17" t="str">
        <f ca="1"/>
        <v>S</v>
      </c>
      <c r="J14" s="17" t="str">
        <f ca="1"/>
        <v>M</v>
      </c>
      <c r="K14" s="17" t="str">
        <f ca="1"/>
        <v>T</v>
      </c>
      <c r="L14" s="17" t="str">
        <f ca="1"/>
        <v>W</v>
      </c>
      <c r="M14" s="17" t="str">
        <f ca="1"/>
        <v>T</v>
      </c>
      <c r="N14" s="17" t="str">
        <f ca="1"/>
        <v>F</v>
      </c>
      <c r="O14" s="26" t="str">
        <f ca="1"/>
        <v>S</v>
      </c>
      <c r="P14" s="27" t="str">
        <f ca="1"/>
        <v>S</v>
      </c>
      <c r="Q14" s="27" t="str">
        <f ca="1"/>
        <v>M</v>
      </c>
      <c r="R14" s="27" t="str">
        <f ca="1"/>
        <v>T</v>
      </c>
      <c r="S14" s="27" t="str">
        <f ca="1"/>
        <v>W</v>
      </c>
      <c r="T14" s="27" t="str">
        <f ca="1"/>
        <v>T</v>
      </c>
      <c r="U14" s="28" t="str">
        <f ca="1"/>
        <v>F</v>
      </c>
      <c r="V14" s="26" t="str">
        <f ca="1"/>
        <v>S</v>
      </c>
      <c r="W14" s="27" t="str">
        <f ca="1"/>
        <v>S</v>
      </c>
      <c r="X14" s="27" t="str">
        <f ca="1"/>
        <v>M</v>
      </c>
      <c r="Y14" s="27" t="str">
        <f ca="1"/>
        <v>T</v>
      </c>
      <c r="Z14" s="27" t="str">
        <f ca="1"/>
        <v>W</v>
      </c>
      <c r="AA14" s="27" t="str">
        <f ca="1"/>
        <v>T</v>
      </c>
      <c r="AB14" s="28" t="str">
        <f ca="1"/>
        <v>F</v>
      </c>
      <c r="AC14" s="26" t="str">
        <f ca="1"/>
        <v>S</v>
      </c>
      <c r="AD14" s="27" t="str">
        <f ca="1"/>
        <v>S</v>
      </c>
      <c r="AE14" s="27" t="str">
        <f ca="1"/>
        <v>M</v>
      </c>
      <c r="AF14" s="27" t="str">
        <f ca="1"/>
        <v>T</v>
      </c>
      <c r="AG14" s="27" t="str">
        <f ca="1"/>
        <v>W</v>
      </c>
      <c r="AH14" s="27" t="str">
        <f ca="1"/>
        <v>T</v>
      </c>
      <c r="AI14" s="28" t="str">
        <f ca="1"/>
        <v>F</v>
      </c>
      <c r="AJ14" s="17" t="str">
        <f ca="1"/>
        <v>S</v>
      </c>
      <c r="AK14" s="17" t="str">
        <f ca="1"/>
        <v>S</v>
      </c>
      <c r="AL14" s="17" t="str">
        <f ca="1"/>
        <v>M</v>
      </c>
      <c r="AM14" s="10"/>
    </row>
    <row r="15" spans="1:39" x14ac:dyDescent="0.3">
      <c r="B15" s="10"/>
      <c r="C15" s="15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8" cm="1">
        <f t="array" aca="1" ref="H15:AL15" ca="1">_xlfn.LET(
_xlpm.monthNum, MONTH(D4&amp;0),
_xlpm.yearNum, YEAR(TODAY()),
_xlpm.startDate, DATE(_xlpm.yearNum,_xlpm.monthNum,1),
_xlpm.endDate, EOMONTH(_xlpm.startDate,0),
_xlfn.SEQUENCE(,DAY(_xlpm.endDate),_xlpm.startDate)
)</f>
        <v>46235</v>
      </c>
      <c r="I15" s="18">
        <f ca="1"/>
        <v>46236</v>
      </c>
      <c r="J15" s="18">
        <f ca="1"/>
        <v>46237</v>
      </c>
      <c r="K15" s="18">
        <f ca="1"/>
        <v>46238</v>
      </c>
      <c r="L15" s="18">
        <f ca="1"/>
        <v>46239</v>
      </c>
      <c r="M15" s="18">
        <f ca="1"/>
        <v>46240</v>
      </c>
      <c r="N15" s="18">
        <f ca="1"/>
        <v>46241</v>
      </c>
      <c r="O15" s="29">
        <f ca="1"/>
        <v>46242</v>
      </c>
      <c r="P15" s="30">
        <f ca="1"/>
        <v>46243</v>
      </c>
      <c r="Q15" s="30">
        <f ca="1"/>
        <v>46244</v>
      </c>
      <c r="R15" s="30">
        <f ca="1"/>
        <v>46245</v>
      </c>
      <c r="S15" s="30">
        <f ca="1"/>
        <v>46246</v>
      </c>
      <c r="T15" s="30">
        <f ca="1"/>
        <v>46247</v>
      </c>
      <c r="U15" s="31">
        <f ca="1"/>
        <v>46248</v>
      </c>
      <c r="V15" s="29">
        <f ca="1"/>
        <v>46249</v>
      </c>
      <c r="W15" s="30">
        <f ca="1"/>
        <v>46250</v>
      </c>
      <c r="X15" s="30">
        <f ca="1"/>
        <v>46251</v>
      </c>
      <c r="Y15" s="30">
        <f ca="1"/>
        <v>46252</v>
      </c>
      <c r="Z15" s="30">
        <f ca="1"/>
        <v>46253</v>
      </c>
      <c r="AA15" s="30">
        <f ca="1"/>
        <v>46254</v>
      </c>
      <c r="AB15" s="31">
        <f ca="1"/>
        <v>46255</v>
      </c>
      <c r="AC15" s="29">
        <f ca="1"/>
        <v>46256</v>
      </c>
      <c r="AD15" s="30">
        <f ca="1"/>
        <v>46257</v>
      </c>
      <c r="AE15" s="30">
        <f ca="1"/>
        <v>46258</v>
      </c>
      <c r="AF15" s="30">
        <f ca="1"/>
        <v>46259</v>
      </c>
      <c r="AG15" s="30">
        <f ca="1"/>
        <v>46260</v>
      </c>
      <c r="AH15" s="30">
        <f ca="1"/>
        <v>46261</v>
      </c>
      <c r="AI15" s="31">
        <f ca="1"/>
        <v>46262</v>
      </c>
      <c r="AJ15" s="18">
        <f ca="1"/>
        <v>46263</v>
      </c>
      <c r="AK15" s="18">
        <f ca="1"/>
        <v>46264</v>
      </c>
      <c r="AL15" s="18">
        <f ca="1"/>
        <v>46265</v>
      </c>
      <c r="AM15" s="10"/>
    </row>
    <row r="16" spans="1:39" hidden="1" x14ac:dyDescent="0.3">
      <c r="B16" s="10"/>
      <c r="C16" s="10" t="s">
        <v>7</v>
      </c>
      <c r="D16" s="10" t="s">
        <v>8</v>
      </c>
      <c r="E16" s="10" t="s">
        <v>9</v>
      </c>
      <c r="F16" s="10" t="s">
        <v>10</v>
      </c>
      <c r="G16" s="10" t="s">
        <v>11</v>
      </c>
      <c r="H16" s="16" t="s">
        <v>36</v>
      </c>
      <c r="I16" s="16" t="s">
        <v>37</v>
      </c>
      <c r="J16" s="16" t="s">
        <v>38</v>
      </c>
      <c r="K16" s="16" t="s">
        <v>39</v>
      </c>
      <c r="L16" s="16" t="s">
        <v>40</v>
      </c>
      <c r="M16" s="16" t="s">
        <v>41</v>
      </c>
      <c r="N16" s="16" t="s">
        <v>42</v>
      </c>
      <c r="O16" s="32" t="s">
        <v>43</v>
      </c>
      <c r="P16" s="33" t="s">
        <v>44</v>
      </c>
      <c r="Q16" s="33" t="s">
        <v>45</v>
      </c>
      <c r="R16" s="33" t="s">
        <v>46</v>
      </c>
      <c r="S16" s="33" t="s">
        <v>47</v>
      </c>
      <c r="T16" s="33" t="s">
        <v>48</v>
      </c>
      <c r="U16" s="34" t="s">
        <v>49</v>
      </c>
      <c r="V16" s="32" t="s">
        <v>50</v>
      </c>
      <c r="W16" s="33" t="s">
        <v>51</v>
      </c>
      <c r="X16" s="33" t="s">
        <v>52</v>
      </c>
      <c r="Y16" s="33" t="s">
        <v>53</v>
      </c>
      <c r="Z16" s="33" t="s">
        <v>54</v>
      </c>
      <c r="AA16" s="33" t="s">
        <v>55</v>
      </c>
      <c r="AB16" s="34" t="s">
        <v>56</v>
      </c>
      <c r="AC16" s="32" t="s">
        <v>57</v>
      </c>
      <c r="AD16" s="33" t="s">
        <v>58</v>
      </c>
      <c r="AE16" s="33" t="s">
        <v>59</v>
      </c>
      <c r="AF16" s="33" t="s">
        <v>60</v>
      </c>
      <c r="AG16" s="33" t="s">
        <v>61</v>
      </c>
      <c r="AH16" s="33" t="s">
        <v>62</v>
      </c>
      <c r="AI16" s="34" t="s">
        <v>63</v>
      </c>
      <c r="AJ16" s="16" t="s">
        <v>64</v>
      </c>
      <c r="AK16" s="16" t="s">
        <v>65</v>
      </c>
      <c r="AL16" s="16" t="s">
        <v>66</v>
      </c>
      <c r="AM16" s="10"/>
    </row>
    <row r="17" spans="2:39" x14ac:dyDescent="0.3">
      <c r="B17" s="10"/>
      <c r="C17" s="10" t="s">
        <v>12</v>
      </c>
      <c r="D17" s="10" t="s">
        <v>21</v>
      </c>
      <c r="E17" s="10" t="s">
        <v>28</v>
      </c>
      <c r="F17" s="22" cm="1">
        <f t="array" aca="1" ref="F17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4</v>
      </c>
      <c r="G17" s="22" cm="1">
        <f t="array" ref="G17">SUM(--tblTracker[[#This Row],[1]:[31]])</f>
        <v>27</v>
      </c>
      <c r="H17" s="21" t="b">
        <v>1</v>
      </c>
      <c r="I17" s="21" t="b">
        <v>0</v>
      </c>
      <c r="J17" s="21" t="b">
        <v>1</v>
      </c>
      <c r="K17" s="21" t="b">
        <v>1</v>
      </c>
      <c r="L17" s="21" t="b">
        <v>0</v>
      </c>
      <c r="M17" s="21" t="b">
        <v>1</v>
      </c>
      <c r="N17" s="21" t="b">
        <v>1</v>
      </c>
      <c r="O17" s="35" t="b">
        <v>1</v>
      </c>
      <c r="P17" s="36" t="b">
        <v>1</v>
      </c>
      <c r="Q17" s="36" t="b">
        <v>1</v>
      </c>
      <c r="R17" s="36" t="b">
        <v>1</v>
      </c>
      <c r="S17" s="36" t="b">
        <v>1</v>
      </c>
      <c r="T17" s="36" t="b">
        <v>1</v>
      </c>
      <c r="U17" s="37" t="b">
        <v>1</v>
      </c>
      <c r="V17" s="35" t="b">
        <v>1</v>
      </c>
      <c r="W17" s="36" t="b">
        <v>1</v>
      </c>
      <c r="X17" s="36" t="b">
        <v>1</v>
      </c>
      <c r="Y17" s="36" t="b">
        <v>1</v>
      </c>
      <c r="Z17" s="36" t="b">
        <v>1</v>
      </c>
      <c r="AA17" s="36" t="b">
        <v>0</v>
      </c>
      <c r="AB17" s="37" t="b">
        <v>1</v>
      </c>
      <c r="AC17" s="35" t="b">
        <v>1</v>
      </c>
      <c r="AD17" s="36" t="b">
        <v>1</v>
      </c>
      <c r="AE17" s="36" t="b">
        <v>0</v>
      </c>
      <c r="AF17" s="36" t="b">
        <v>1</v>
      </c>
      <c r="AG17" s="36" t="b">
        <v>1</v>
      </c>
      <c r="AH17" s="36" t="b">
        <v>1</v>
      </c>
      <c r="AI17" s="37" t="b">
        <v>1</v>
      </c>
      <c r="AJ17" s="21" t="b">
        <v>1</v>
      </c>
      <c r="AK17" s="21" t="b">
        <v>1</v>
      </c>
      <c r="AL17" s="21" t="b">
        <v>1</v>
      </c>
      <c r="AM17" s="10"/>
    </row>
    <row r="18" spans="2:39" x14ac:dyDescent="0.3">
      <c r="B18" s="10"/>
      <c r="C18" s="10" t="s">
        <v>13</v>
      </c>
      <c r="D18" s="10" t="s">
        <v>22</v>
      </c>
      <c r="E18" s="10" t="s">
        <v>29</v>
      </c>
      <c r="F18" s="22" cm="1">
        <f t="array" aca="1" ref="F18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1</v>
      </c>
      <c r="G18" s="22" cm="1">
        <f t="array" ref="G18">SUM(--tblTracker[[#This Row],[1]:[31]])</f>
        <v>21</v>
      </c>
      <c r="H18" s="21" t="b">
        <v>0</v>
      </c>
      <c r="I18" s="21" t="b">
        <v>0</v>
      </c>
      <c r="J18" s="21" t="b">
        <v>0</v>
      </c>
      <c r="K18" s="21" t="b">
        <v>0</v>
      </c>
      <c r="L18" s="21" t="b">
        <v>1</v>
      </c>
      <c r="M18" s="21" t="b">
        <v>0</v>
      </c>
      <c r="N18" s="21" t="b">
        <v>1</v>
      </c>
      <c r="O18" s="35" t="b">
        <v>0</v>
      </c>
      <c r="P18" s="36" t="b">
        <v>1</v>
      </c>
      <c r="Q18" s="36" t="b">
        <v>1</v>
      </c>
      <c r="R18" s="36" t="b">
        <v>1</v>
      </c>
      <c r="S18" s="36" t="b">
        <v>1</v>
      </c>
      <c r="T18" s="36" t="b">
        <v>1</v>
      </c>
      <c r="U18" s="37" t="b">
        <v>1</v>
      </c>
      <c r="V18" s="35" t="b">
        <v>1</v>
      </c>
      <c r="W18" s="36" t="b">
        <v>1</v>
      </c>
      <c r="X18" s="36" t="b">
        <v>1</v>
      </c>
      <c r="Y18" s="36" t="b">
        <v>1</v>
      </c>
      <c r="Z18" s="36" t="b">
        <v>0</v>
      </c>
      <c r="AA18" s="36" t="b">
        <v>1</v>
      </c>
      <c r="AB18" s="37" t="b">
        <v>0</v>
      </c>
      <c r="AC18" s="35" t="b">
        <v>1</v>
      </c>
      <c r="AD18" s="36" t="b">
        <v>0</v>
      </c>
      <c r="AE18" s="36" t="b">
        <v>1</v>
      </c>
      <c r="AF18" s="36" t="b">
        <v>0</v>
      </c>
      <c r="AG18" s="36" t="b">
        <v>1</v>
      </c>
      <c r="AH18" s="36" t="b">
        <v>1</v>
      </c>
      <c r="AI18" s="37" t="b">
        <v>1</v>
      </c>
      <c r="AJ18" s="21" t="b">
        <v>1</v>
      </c>
      <c r="AK18" s="21" t="b">
        <v>1</v>
      </c>
      <c r="AL18" s="21" t="b">
        <v>1</v>
      </c>
      <c r="AM18" s="10"/>
    </row>
    <row r="19" spans="2:39" x14ac:dyDescent="0.3">
      <c r="B19" s="10"/>
      <c r="C19" s="10" t="s">
        <v>14</v>
      </c>
      <c r="D19" s="10" t="s">
        <v>23</v>
      </c>
      <c r="E19" s="10" t="s">
        <v>30</v>
      </c>
      <c r="F19" s="22" cm="1">
        <f t="array" aca="1" ref="F19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2</v>
      </c>
      <c r="G19" s="22" cm="1">
        <f t="array" ref="G19">SUM(--tblTracker[[#This Row],[1]:[31]])</f>
        <v>24</v>
      </c>
      <c r="H19" s="21" t="b">
        <v>0</v>
      </c>
      <c r="I19" s="21" t="b">
        <v>1</v>
      </c>
      <c r="J19" s="21" t="b">
        <v>0</v>
      </c>
      <c r="K19" s="21" t="b">
        <v>0</v>
      </c>
      <c r="L19" s="21" t="b">
        <v>1</v>
      </c>
      <c r="M19" s="21" t="b">
        <v>1</v>
      </c>
      <c r="N19" s="21" t="b">
        <v>0</v>
      </c>
      <c r="O19" s="35" t="b">
        <v>1</v>
      </c>
      <c r="P19" s="36" t="b">
        <v>1</v>
      </c>
      <c r="Q19" s="36" t="b">
        <v>1</v>
      </c>
      <c r="R19" s="36" t="b">
        <v>1</v>
      </c>
      <c r="S19" s="36" t="b">
        <v>1</v>
      </c>
      <c r="T19" s="36" t="b">
        <v>1</v>
      </c>
      <c r="U19" s="37" t="b">
        <v>1</v>
      </c>
      <c r="V19" s="35" t="b">
        <v>1</v>
      </c>
      <c r="W19" s="36" t="b">
        <v>1</v>
      </c>
      <c r="X19" s="36" t="b">
        <v>1</v>
      </c>
      <c r="Y19" s="36" t="b">
        <v>0</v>
      </c>
      <c r="Z19" s="36" t="b">
        <v>1</v>
      </c>
      <c r="AA19" s="36" t="b">
        <v>1</v>
      </c>
      <c r="AB19" s="37" t="b">
        <v>1</v>
      </c>
      <c r="AC19" s="35" t="b">
        <v>0</v>
      </c>
      <c r="AD19" s="36" t="b">
        <v>1</v>
      </c>
      <c r="AE19" s="36" t="b">
        <v>1</v>
      </c>
      <c r="AF19" s="36" t="b">
        <v>1</v>
      </c>
      <c r="AG19" s="36" t="b">
        <v>0</v>
      </c>
      <c r="AH19" s="36" t="b">
        <v>1</v>
      </c>
      <c r="AI19" s="37" t="b">
        <v>1</v>
      </c>
      <c r="AJ19" s="21" t="b">
        <v>1</v>
      </c>
      <c r="AK19" s="21" t="b">
        <v>1</v>
      </c>
      <c r="AL19" s="21" t="b">
        <v>1</v>
      </c>
      <c r="AM19" s="10"/>
    </row>
    <row r="20" spans="2:39" x14ac:dyDescent="0.3">
      <c r="B20" s="10"/>
      <c r="C20" s="10" t="s">
        <v>15</v>
      </c>
      <c r="D20" s="10" t="s">
        <v>24</v>
      </c>
      <c r="E20" s="10" t="s">
        <v>31</v>
      </c>
      <c r="F20" s="22" cm="1">
        <f t="array" aca="1" ref="F20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1</v>
      </c>
      <c r="G20" s="22" cm="1">
        <f t="array" ref="G20">SUM(--tblTracker[[#This Row],[1]:[31]])</f>
        <v>25</v>
      </c>
      <c r="H20" s="21" t="b">
        <v>1</v>
      </c>
      <c r="I20" s="21" t="b">
        <v>1</v>
      </c>
      <c r="J20" s="21" t="b">
        <v>1</v>
      </c>
      <c r="K20" s="21" t="b">
        <v>1</v>
      </c>
      <c r="L20" s="21" t="b">
        <v>0</v>
      </c>
      <c r="M20" s="21" t="b">
        <v>1</v>
      </c>
      <c r="N20" s="21" t="b">
        <v>1</v>
      </c>
      <c r="O20" s="35" t="b">
        <v>0</v>
      </c>
      <c r="P20" s="36" t="b">
        <v>1</v>
      </c>
      <c r="Q20" s="36" t="b">
        <v>1</v>
      </c>
      <c r="R20" s="36" t="b">
        <v>1</v>
      </c>
      <c r="S20" s="36" t="b">
        <v>1</v>
      </c>
      <c r="T20" s="36" t="b">
        <v>1</v>
      </c>
      <c r="U20" s="37" t="b">
        <v>1</v>
      </c>
      <c r="V20" s="35" t="b">
        <v>1</v>
      </c>
      <c r="W20" s="36" t="b">
        <v>1</v>
      </c>
      <c r="X20" s="36" t="b">
        <v>0</v>
      </c>
      <c r="Y20" s="36" t="b">
        <v>1</v>
      </c>
      <c r="Z20" s="36" t="b">
        <v>1</v>
      </c>
      <c r="AA20" s="36" t="b">
        <v>1</v>
      </c>
      <c r="AB20" s="37" t="b">
        <v>0</v>
      </c>
      <c r="AC20" s="35" t="b">
        <v>1</v>
      </c>
      <c r="AD20" s="36" t="b">
        <v>0</v>
      </c>
      <c r="AE20" s="36" t="b">
        <v>1</v>
      </c>
      <c r="AF20" s="36" t="b">
        <v>1</v>
      </c>
      <c r="AG20" s="36" t="b">
        <v>1</v>
      </c>
      <c r="AH20" s="36" t="b">
        <v>0</v>
      </c>
      <c r="AI20" s="37" t="b">
        <v>1</v>
      </c>
      <c r="AJ20" s="21" t="b">
        <v>1</v>
      </c>
      <c r="AK20" s="21" t="b">
        <v>1</v>
      </c>
      <c r="AL20" s="21" t="b">
        <v>1</v>
      </c>
      <c r="AM20" s="10"/>
    </row>
    <row r="21" spans="2:39" x14ac:dyDescent="0.3">
      <c r="B21" s="10"/>
      <c r="C21" s="10" t="s">
        <v>16</v>
      </c>
      <c r="D21" s="10" t="s">
        <v>21</v>
      </c>
      <c r="E21" s="10"/>
      <c r="F21" s="22" cm="1">
        <f t="array" aca="1" ref="F21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0</v>
      </c>
      <c r="G21" s="22" cm="1">
        <f t="array" ref="G21">SUM(--tblTracker[[#This Row],[1]:[31]])</f>
        <v>24</v>
      </c>
      <c r="H21" s="21" t="b">
        <v>1</v>
      </c>
      <c r="I21" s="21" t="b">
        <v>1</v>
      </c>
      <c r="J21" s="21" t="b">
        <v>0</v>
      </c>
      <c r="K21" s="21" t="b">
        <v>1</v>
      </c>
      <c r="L21" s="21" t="b">
        <v>1</v>
      </c>
      <c r="M21" s="21" t="b">
        <v>0</v>
      </c>
      <c r="N21" s="21" t="b">
        <v>1</v>
      </c>
      <c r="O21" s="35" t="b">
        <v>1</v>
      </c>
      <c r="P21" s="36" t="b">
        <v>0</v>
      </c>
      <c r="Q21" s="36" t="b">
        <v>1</v>
      </c>
      <c r="R21" s="36" t="b">
        <v>1</v>
      </c>
      <c r="S21" s="36" t="b">
        <v>1</v>
      </c>
      <c r="T21" s="36" t="b">
        <v>1</v>
      </c>
      <c r="U21" s="37" t="b">
        <v>1</v>
      </c>
      <c r="V21" s="35" t="b">
        <v>1</v>
      </c>
      <c r="W21" s="36" t="b">
        <v>0</v>
      </c>
      <c r="X21" s="36" t="b">
        <v>1</v>
      </c>
      <c r="Y21" s="36" t="b">
        <v>1</v>
      </c>
      <c r="Z21" s="36" t="b">
        <v>1</v>
      </c>
      <c r="AA21" s="36" t="b">
        <v>0</v>
      </c>
      <c r="AB21" s="37" t="b">
        <v>1</v>
      </c>
      <c r="AC21" s="35" t="b">
        <v>1</v>
      </c>
      <c r="AD21" s="36" t="b">
        <v>1</v>
      </c>
      <c r="AE21" s="36" t="b">
        <v>0</v>
      </c>
      <c r="AF21" s="36" t="b">
        <v>1</v>
      </c>
      <c r="AG21" s="36" t="b">
        <v>1</v>
      </c>
      <c r="AH21" s="36" t="b">
        <v>1</v>
      </c>
      <c r="AI21" s="37" t="b">
        <v>0</v>
      </c>
      <c r="AJ21" s="21" t="b">
        <v>1</v>
      </c>
      <c r="AK21" s="21" t="b">
        <v>1</v>
      </c>
      <c r="AL21" s="21" t="b">
        <v>1</v>
      </c>
      <c r="AM21" s="10"/>
    </row>
    <row r="22" spans="2:39" x14ac:dyDescent="0.3">
      <c r="B22" s="10"/>
      <c r="C22" s="10" t="s">
        <v>17</v>
      </c>
      <c r="D22" s="10" t="s">
        <v>25</v>
      </c>
      <c r="E22" s="10"/>
      <c r="F22" s="22" cm="1">
        <f t="array" aca="1" ref="F22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2</v>
      </c>
      <c r="G22" s="22" cm="1">
        <f t="array" ref="G22">SUM(--tblTracker[[#This Row],[1]:[31]])</f>
        <v>22</v>
      </c>
      <c r="H22" s="21" t="b">
        <v>0</v>
      </c>
      <c r="I22" s="21" t="b">
        <v>1</v>
      </c>
      <c r="J22" s="21" t="b">
        <v>1</v>
      </c>
      <c r="K22" s="21" t="b">
        <v>0</v>
      </c>
      <c r="L22" s="21" t="b">
        <v>0</v>
      </c>
      <c r="M22" s="21" t="b">
        <v>1</v>
      </c>
      <c r="N22" s="21" t="b">
        <v>0</v>
      </c>
      <c r="O22" s="35" t="b">
        <v>1</v>
      </c>
      <c r="P22" s="36" t="b">
        <v>1</v>
      </c>
      <c r="Q22" s="36" t="b">
        <v>0</v>
      </c>
      <c r="R22" s="36" t="b">
        <v>1</v>
      </c>
      <c r="S22" s="36" t="b">
        <v>1</v>
      </c>
      <c r="T22" s="36" t="b">
        <v>1</v>
      </c>
      <c r="U22" s="37" t="b">
        <v>1</v>
      </c>
      <c r="V22" s="35" t="b">
        <v>0</v>
      </c>
      <c r="W22" s="36" t="b">
        <v>1</v>
      </c>
      <c r="X22" s="36" t="b">
        <v>1</v>
      </c>
      <c r="Y22" s="36" t="b">
        <v>1</v>
      </c>
      <c r="Z22" s="36" t="b">
        <v>0</v>
      </c>
      <c r="AA22" s="36" t="b">
        <v>1</v>
      </c>
      <c r="AB22" s="37" t="b">
        <v>1</v>
      </c>
      <c r="AC22" s="35" t="b">
        <v>1</v>
      </c>
      <c r="AD22" s="36" t="b">
        <v>1</v>
      </c>
      <c r="AE22" s="36" t="b">
        <v>1</v>
      </c>
      <c r="AF22" s="36" t="b">
        <v>0</v>
      </c>
      <c r="AG22" s="36" t="b">
        <v>1</v>
      </c>
      <c r="AH22" s="36" t="b">
        <v>1</v>
      </c>
      <c r="AI22" s="37" t="b">
        <v>1</v>
      </c>
      <c r="AJ22" s="21" t="b">
        <v>0</v>
      </c>
      <c r="AK22" s="21" t="b">
        <v>1</v>
      </c>
      <c r="AL22" s="21" t="b">
        <v>1</v>
      </c>
      <c r="AM22" s="10"/>
    </row>
    <row r="23" spans="2:39" x14ac:dyDescent="0.3">
      <c r="B23" s="10"/>
      <c r="C23" s="10" t="s">
        <v>18</v>
      </c>
      <c r="D23" s="10" t="s">
        <v>26</v>
      </c>
      <c r="E23" s="10" t="s">
        <v>32</v>
      </c>
      <c r="F23" s="22" cm="1">
        <f t="array" aca="1" ref="F23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1</v>
      </c>
      <c r="G23" s="22" cm="1">
        <f t="array" ref="G23">SUM(--tblTracker[[#This Row],[1]:[31]])</f>
        <v>24</v>
      </c>
      <c r="H23" s="21" t="b">
        <v>1</v>
      </c>
      <c r="I23" s="21" t="b">
        <v>1</v>
      </c>
      <c r="J23" s="21" t="b">
        <v>0</v>
      </c>
      <c r="K23" s="21" t="b">
        <v>1</v>
      </c>
      <c r="L23" s="21" t="b">
        <v>1</v>
      </c>
      <c r="M23" s="21" t="b">
        <v>1</v>
      </c>
      <c r="N23" s="21" t="b">
        <v>1</v>
      </c>
      <c r="O23" s="35" t="b">
        <v>0</v>
      </c>
      <c r="P23" s="36" t="b">
        <v>1</v>
      </c>
      <c r="Q23" s="36" t="b">
        <v>1</v>
      </c>
      <c r="R23" s="36" t="b">
        <v>0</v>
      </c>
      <c r="S23" s="36" t="b">
        <v>1</v>
      </c>
      <c r="T23" s="36" t="b">
        <v>1</v>
      </c>
      <c r="U23" s="37" t="b">
        <v>0</v>
      </c>
      <c r="V23" s="35" t="b">
        <v>1</v>
      </c>
      <c r="W23" s="36" t="b">
        <v>1</v>
      </c>
      <c r="X23" s="36" t="b">
        <v>1</v>
      </c>
      <c r="Y23" s="36" t="b">
        <v>0</v>
      </c>
      <c r="Z23" s="36" t="b">
        <v>1</v>
      </c>
      <c r="AA23" s="36" t="b">
        <v>1</v>
      </c>
      <c r="AB23" s="37" t="b">
        <v>1</v>
      </c>
      <c r="AC23" s="35" t="b">
        <v>1</v>
      </c>
      <c r="AD23" s="36" t="b">
        <v>1</v>
      </c>
      <c r="AE23" s="36" t="b">
        <v>1</v>
      </c>
      <c r="AF23" s="36" t="b">
        <v>1</v>
      </c>
      <c r="AG23" s="36" t="b">
        <v>0</v>
      </c>
      <c r="AH23" s="36" t="b">
        <v>1</v>
      </c>
      <c r="AI23" s="37" t="b">
        <v>1</v>
      </c>
      <c r="AJ23" s="21" t="b">
        <v>1</v>
      </c>
      <c r="AK23" s="21" t="b">
        <v>0</v>
      </c>
      <c r="AL23" s="21" t="b">
        <v>1</v>
      </c>
      <c r="AM23" s="10"/>
    </row>
    <row r="24" spans="2:39" x14ac:dyDescent="0.3">
      <c r="B24" s="10"/>
      <c r="C24" s="10" t="s">
        <v>27</v>
      </c>
      <c r="D24" s="10" t="s">
        <v>23</v>
      </c>
      <c r="E24" s="10" t="s">
        <v>33</v>
      </c>
      <c r="F24" s="22" cm="1">
        <f t="array" aca="1" ref="F24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0</v>
      </c>
      <c r="G24" s="22" cm="1">
        <f t="array" ref="G24">SUM(--tblTracker[[#This Row],[1]:[31]])</f>
        <v>23</v>
      </c>
      <c r="H24" s="21" t="b">
        <v>0</v>
      </c>
      <c r="I24" s="21" t="b">
        <v>1</v>
      </c>
      <c r="J24" s="21" t="b">
        <v>1</v>
      </c>
      <c r="K24" s="21" t="b">
        <v>1</v>
      </c>
      <c r="L24" s="21" t="b">
        <v>1</v>
      </c>
      <c r="M24" s="21" t="b">
        <v>1</v>
      </c>
      <c r="N24" s="21" t="b">
        <v>1</v>
      </c>
      <c r="O24" s="35" t="b">
        <v>1</v>
      </c>
      <c r="P24" s="36" t="b">
        <v>0</v>
      </c>
      <c r="Q24" s="36" t="b">
        <v>1</v>
      </c>
      <c r="R24" s="36" t="b">
        <v>1</v>
      </c>
      <c r="S24" s="36" t="b">
        <v>0</v>
      </c>
      <c r="T24" s="36" t="b">
        <v>0</v>
      </c>
      <c r="U24" s="37" t="b">
        <v>1</v>
      </c>
      <c r="V24" s="35" t="b">
        <v>0</v>
      </c>
      <c r="W24" s="36" t="b">
        <v>1</v>
      </c>
      <c r="X24" s="36" t="b">
        <v>0</v>
      </c>
      <c r="Y24" s="36" t="b">
        <v>1</v>
      </c>
      <c r="Z24" s="36" t="b">
        <v>1</v>
      </c>
      <c r="AA24" s="36" t="b">
        <v>1</v>
      </c>
      <c r="AB24" s="37" t="b">
        <v>1</v>
      </c>
      <c r="AC24" s="35" t="b">
        <v>1</v>
      </c>
      <c r="AD24" s="36" t="b">
        <v>1</v>
      </c>
      <c r="AE24" s="36" t="b">
        <v>1</v>
      </c>
      <c r="AF24" s="36" t="b">
        <v>1</v>
      </c>
      <c r="AG24" s="36" t="b">
        <v>1</v>
      </c>
      <c r="AH24" s="36" t="b">
        <v>0</v>
      </c>
      <c r="AI24" s="37" t="b">
        <v>1</v>
      </c>
      <c r="AJ24" s="21" t="b">
        <v>1</v>
      </c>
      <c r="AK24" s="21" t="b">
        <v>1</v>
      </c>
      <c r="AL24" s="21" t="b">
        <v>0</v>
      </c>
      <c r="AM24" s="10"/>
    </row>
    <row r="25" spans="2:39" x14ac:dyDescent="0.3">
      <c r="B25" s="10"/>
      <c r="C25" s="10" t="s">
        <v>19</v>
      </c>
      <c r="D25" s="10" t="s">
        <v>21</v>
      </c>
      <c r="E25" s="10" t="s">
        <v>34</v>
      </c>
      <c r="F25" s="22" cm="1">
        <f t="array" aca="1" ref="F25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6</v>
      </c>
      <c r="G25" s="22" cm="1">
        <f t="array" ref="G25">SUM(--tblTracker[[#This Row],[1]:[31]])</f>
        <v>21</v>
      </c>
      <c r="H25" s="21" t="b">
        <v>0</v>
      </c>
      <c r="I25" s="21" t="b">
        <v>0</v>
      </c>
      <c r="J25" s="21" t="b">
        <v>0</v>
      </c>
      <c r="K25" s="21" t="b">
        <v>1</v>
      </c>
      <c r="L25" s="21" t="b">
        <v>1</v>
      </c>
      <c r="M25" s="21" t="b">
        <v>1</v>
      </c>
      <c r="N25" s="21" t="b">
        <v>1</v>
      </c>
      <c r="O25" s="35" t="b">
        <v>1</v>
      </c>
      <c r="P25" s="36" t="b">
        <v>1</v>
      </c>
      <c r="Q25" s="36" t="b">
        <v>0</v>
      </c>
      <c r="R25" s="36" t="b">
        <v>1</v>
      </c>
      <c r="S25" s="36" t="b">
        <v>0</v>
      </c>
      <c r="T25" s="36" t="b">
        <v>0</v>
      </c>
      <c r="U25" s="37" t="b">
        <v>1</v>
      </c>
      <c r="V25" s="35" t="b">
        <v>0</v>
      </c>
      <c r="W25" s="36" t="b">
        <v>0</v>
      </c>
      <c r="X25" s="36" t="b">
        <v>1</v>
      </c>
      <c r="Y25" s="36" t="b">
        <v>1</v>
      </c>
      <c r="Z25" s="36" t="b">
        <v>1</v>
      </c>
      <c r="AA25" s="36" t="b">
        <v>1</v>
      </c>
      <c r="AB25" s="37" t="b">
        <v>1</v>
      </c>
      <c r="AC25" s="35" t="b">
        <v>1</v>
      </c>
      <c r="AD25" s="36" t="b">
        <v>1</v>
      </c>
      <c r="AE25" s="36" t="b">
        <v>1</v>
      </c>
      <c r="AF25" s="36" t="b">
        <v>1</v>
      </c>
      <c r="AG25" s="36" t="b">
        <v>1</v>
      </c>
      <c r="AH25" s="36" t="b">
        <v>1</v>
      </c>
      <c r="AI25" s="37" t="b">
        <v>0</v>
      </c>
      <c r="AJ25" s="21" t="b">
        <v>1</v>
      </c>
      <c r="AK25" s="21" t="b">
        <v>0</v>
      </c>
      <c r="AL25" s="21" t="b">
        <v>1</v>
      </c>
      <c r="AM25" s="10"/>
    </row>
    <row r="26" spans="2:39" x14ac:dyDescent="0.3">
      <c r="B26" s="10"/>
      <c r="C26" s="10" t="s">
        <v>20</v>
      </c>
      <c r="D26" s="10" t="s">
        <v>21</v>
      </c>
      <c r="E26" s="10" t="s">
        <v>35</v>
      </c>
      <c r="F26" s="22" cm="1">
        <f t="array" aca="1" ref="F26" ca="1">IF(MONTH($D$4&amp;0)&lt;&gt;MONTH(TODAY()),0,
_xlfn.LET(
_xlpm.d, $H$15:$AL$15,
_xlpm.r, tblTracker[[#This Row],[1]:[31]],
_xlpm.x, _xlfn._xlws.FILTER(_xlpm.r, (_xlpm.d&lt;&gt;"")*(_xlpm.d&lt;=TODAY())),
IFERROR(COLUMNS(_xlpm.x)-_xlfn.XMATCH(FALSE,_xlpm.x,0,-1), COLUMNS(_xlpm.x))))</f>
        <v>5</v>
      </c>
      <c r="G26" s="22" cm="1">
        <f t="array" ref="G26">SUM(--tblTracker[[#This Row],[1]:[31]])</f>
        <v>26</v>
      </c>
      <c r="H26" s="21" t="b">
        <v>1</v>
      </c>
      <c r="I26" s="21" t="b">
        <v>0</v>
      </c>
      <c r="J26" s="21" t="b">
        <v>1</v>
      </c>
      <c r="K26" s="21" t="b">
        <v>0</v>
      </c>
      <c r="L26" s="21" t="b">
        <v>1</v>
      </c>
      <c r="M26" s="21" t="b">
        <v>1</v>
      </c>
      <c r="N26" s="21" t="b">
        <v>1</v>
      </c>
      <c r="O26" s="35" t="b">
        <v>1</v>
      </c>
      <c r="P26" s="36" t="b">
        <v>1</v>
      </c>
      <c r="Q26" s="36" t="b">
        <v>1</v>
      </c>
      <c r="R26" s="36" t="b">
        <v>0</v>
      </c>
      <c r="S26" s="36" t="b">
        <v>1</v>
      </c>
      <c r="T26" s="36" t="b">
        <v>1</v>
      </c>
      <c r="U26" s="37" t="b">
        <v>0</v>
      </c>
      <c r="V26" s="35" t="b">
        <v>1</v>
      </c>
      <c r="W26" s="36" t="b">
        <v>1</v>
      </c>
      <c r="X26" s="36" t="b">
        <v>1</v>
      </c>
      <c r="Y26" s="36" t="b">
        <v>1</v>
      </c>
      <c r="Z26" s="36" t="b">
        <v>1</v>
      </c>
      <c r="AA26" s="36" t="b">
        <v>1</v>
      </c>
      <c r="AB26" s="37" t="b">
        <v>1</v>
      </c>
      <c r="AC26" s="35" t="b">
        <v>1</v>
      </c>
      <c r="AD26" s="36" t="b">
        <v>1</v>
      </c>
      <c r="AE26" s="36" t="b">
        <v>1</v>
      </c>
      <c r="AF26" s="36" t="b">
        <v>1</v>
      </c>
      <c r="AG26" s="36" t="b">
        <v>1</v>
      </c>
      <c r="AH26" s="36" t="b">
        <v>1</v>
      </c>
      <c r="AI26" s="37" t="b">
        <v>1</v>
      </c>
      <c r="AJ26" s="21" t="b">
        <v>0</v>
      </c>
      <c r="AK26" s="21" t="b">
        <v>1</v>
      </c>
      <c r="AL26" s="21" t="b">
        <v>1</v>
      </c>
      <c r="AM26" s="10"/>
    </row>
    <row r="27" spans="2:39" x14ac:dyDescent="0.3">
      <c r="B27" s="10"/>
      <c r="C27" s="10" t="s">
        <v>67</v>
      </c>
      <c r="D27" s="10"/>
      <c r="E27" s="10"/>
      <c r="F27" s="10"/>
      <c r="G27" s="10"/>
      <c r="H27" s="16" cm="1">
        <f t="array" ref="H27">SUM(--tblTracker[1])</f>
        <v>5</v>
      </c>
      <c r="I27" s="16" cm="1">
        <f t="array" ref="I27">SUM(--tblTracker[2])</f>
        <v>6</v>
      </c>
      <c r="J27" s="16" cm="1">
        <f t="array" ref="J27">SUM(--tblTracker[3])</f>
        <v>5</v>
      </c>
      <c r="K27" s="16" cm="1">
        <f t="array" ref="K27">SUM(--tblTracker[4])</f>
        <v>6</v>
      </c>
      <c r="L27" s="16" cm="1">
        <f t="array" ref="L27">SUM(--tblTracker[5])</f>
        <v>7</v>
      </c>
      <c r="M27" s="16" cm="1">
        <f t="array" ref="M27">SUM(--tblTracker[6])</f>
        <v>8</v>
      </c>
      <c r="N27" s="16" cm="1">
        <f t="array" ref="N27">SUM(--tblTracker[7])</f>
        <v>8</v>
      </c>
      <c r="O27" s="32" cm="1">
        <f t="array" ref="O27">SUM(--tblTracker[8])</f>
        <v>7</v>
      </c>
      <c r="P27" s="33" cm="1">
        <f t="array" ref="P27">SUM(--tblTracker[9])</f>
        <v>8</v>
      </c>
      <c r="Q27" s="33" cm="1">
        <f t="array" ref="Q27">SUM(--tblTracker[10])</f>
        <v>8</v>
      </c>
      <c r="R27" s="33" cm="1">
        <f t="array" ref="R27">SUM(--tblTracker[11])</f>
        <v>8</v>
      </c>
      <c r="S27" s="33" cm="1">
        <f t="array" ref="S27">SUM(--tblTracker[12])</f>
        <v>8</v>
      </c>
      <c r="T27" s="33" cm="1">
        <f t="array" ref="T27">SUM(--tblTracker[13])</f>
        <v>8</v>
      </c>
      <c r="U27" s="34" cm="1">
        <f t="array" ref="U27">SUM(--tblTracker[14])</f>
        <v>8</v>
      </c>
      <c r="V27" s="32" cm="1">
        <f t="array" ref="V27">SUM(--tblTracker[15])</f>
        <v>7</v>
      </c>
      <c r="W27" s="33" cm="1">
        <f t="array" ref="W27">SUM(--tblTracker[16])</f>
        <v>8</v>
      </c>
      <c r="X27" s="33" cm="1">
        <f t="array" ref="X27">SUM(--tblTracker[17])</f>
        <v>8</v>
      </c>
      <c r="Y27" s="33" cm="1">
        <f t="array" ref="Y27">SUM(--tblTracker[18])</f>
        <v>8</v>
      </c>
      <c r="Z27" s="33" cm="1">
        <f t="array" ref="Z27">SUM(--tblTracker[19])</f>
        <v>8</v>
      </c>
      <c r="AA27" s="33" cm="1">
        <f t="array" ref="AA27">SUM(--tblTracker[20])</f>
        <v>8</v>
      </c>
      <c r="AB27" s="34" cm="1">
        <f t="array" ref="AB27">SUM(--tblTracker[21])</f>
        <v>8</v>
      </c>
      <c r="AC27" s="32" cm="1">
        <f t="array" ref="AC27">SUM(--tblTracker[22])</f>
        <v>9</v>
      </c>
      <c r="AD27" s="33" cm="1">
        <f t="array" ref="AD27">SUM(--tblTracker[23])</f>
        <v>8</v>
      </c>
      <c r="AE27" s="33" cm="1">
        <f t="array" ref="AE27">SUM(--tblTracker[24])</f>
        <v>8</v>
      </c>
      <c r="AF27" s="33" cm="1">
        <f t="array" ref="AF27">SUM(--tblTracker[25])</f>
        <v>8</v>
      </c>
      <c r="AG27" s="33" cm="1">
        <f t="array" ref="AG27">SUM(--tblTracker[26])</f>
        <v>8</v>
      </c>
      <c r="AH27" s="33" cm="1">
        <f t="array" ref="AH27">SUM(--tblTracker[27])</f>
        <v>8</v>
      </c>
      <c r="AI27" s="34" cm="1">
        <f t="array" ref="AI27">SUM(--tblTracker[28])</f>
        <v>8</v>
      </c>
      <c r="AJ27" s="16" cm="1">
        <f t="array" ref="AJ27">SUM(--tblTracker[29])</f>
        <v>8</v>
      </c>
      <c r="AK27" s="16" cm="1">
        <f t="array" ref="AK27">SUM(--tblTracker[30])</f>
        <v>8</v>
      </c>
      <c r="AL27" s="16" cm="1">
        <f t="array" ref="AL27">SUM(--tblTracker[31])</f>
        <v>9</v>
      </c>
      <c r="AM27" s="10"/>
    </row>
    <row r="28" spans="2:39" x14ac:dyDescent="0.3">
      <c r="B28" s="10"/>
      <c r="C28" s="10" t="s">
        <v>68</v>
      </c>
      <c r="D28" s="10"/>
      <c r="E28" s="10"/>
      <c r="F28" s="10"/>
      <c r="G28" s="10"/>
      <c r="H28" s="19">
        <f>tblTracker[[#Totals],[1]]/COUNTA(tblTracker[[#Headers],[#Data],[1]])</f>
        <v>0.45454545454545453</v>
      </c>
      <c r="I28" s="19">
        <f>tblTracker[[#Totals],[2]]/COUNTA(tblTracker[[#Headers],[#Data],[2]])</f>
        <v>0.54545454545454541</v>
      </c>
      <c r="J28" s="19">
        <f>tblTracker[[#Totals],[3]]/COUNTA(tblTracker[[#Headers],[#Data],[3]])</f>
        <v>0.45454545454545453</v>
      </c>
      <c r="K28" s="19">
        <f>tblTracker[[#Totals],[4]]/COUNTA(tblTracker[[#Headers],[#Data],[4]])</f>
        <v>0.54545454545454541</v>
      </c>
      <c r="L28" s="19">
        <f>tblTracker[[#Totals],[5]]/COUNTA(tblTracker[[#Headers],[#Data],[5]])</f>
        <v>0.63636363636363635</v>
      </c>
      <c r="M28" s="19">
        <f>tblTracker[[#Totals],[6]]/COUNTA(tblTracker[[#Headers],[#Data],[6]])</f>
        <v>0.72727272727272729</v>
      </c>
      <c r="N28" s="19">
        <f>tblTracker[[#Totals],[7]]/COUNTA(tblTracker[[#Headers],[#Data],[7]])</f>
        <v>0.72727272727272729</v>
      </c>
      <c r="O28" s="38">
        <f>tblTracker[[#Totals],[8]]/COUNTA(tblTracker[[#Headers],[#Data],[8]])</f>
        <v>0.63636363636363635</v>
      </c>
      <c r="P28" s="39">
        <f>tblTracker[[#Totals],[9]]/COUNTA(tblTracker[[#Headers],[#Data],[9]])</f>
        <v>0.72727272727272729</v>
      </c>
      <c r="Q28" s="39">
        <f>tblTracker[[#Totals],[10]]/COUNTA(tblTracker[[#Headers],[#Data],[10]])</f>
        <v>0.72727272727272729</v>
      </c>
      <c r="R28" s="39">
        <f>tblTracker[[#Totals],[11]]/COUNTA(tblTracker[[#Headers],[#Data],[11]])</f>
        <v>0.72727272727272729</v>
      </c>
      <c r="S28" s="39">
        <f>tblTracker[[#Totals],[12]]/COUNTA(tblTracker[[#Headers],[#Data],[12]])</f>
        <v>0.72727272727272729</v>
      </c>
      <c r="T28" s="39">
        <f>tblTracker[[#Totals],[13]]/COUNTA(tblTracker[[#Headers],[#Data],[13]])</f>
        <v>0.72727272727272729</v>
      </c>
      <c r="U28" s="40">
        <f>tblTracker[[#Totals],[14]]/COUNTA(tblTracker[[#Headers],[#Data],[14]])</f>
        <v>0.72727272727272729</v>
      </c>
      <c r="V28" s="38">
        <f>tblTracker[[#Totals],[15]]/COUNTA(tblTracker[[#Headers],[#Data],[15]])</f>
        <v>0.63636363636363635</v>
      </c>
      <c r="W28" s="39">
        <f>tblTracker[[#Totals],[16]]/COUNTA(tblTracker[[#Headers],[#Data],[16]])</f>
        <v>0.72727272727272729</v>
      </c>
      <c r="X28" s="39">
        <f>tblTracker[[#Totals],[17]]/COUNTA(tblTracker[[#Headers],[#Data],[17]])</f>
        <v>0.72727272727272729</v>
      </c>
      <c r="Y28" s="39">
        <f>tblTracker[[#Totals],[18]]/COUNTA(tblTracker[[#Headers],[#Data],[18]])</f>
        <v>0.72727272727272729</v>
      </c>
      <c r="Z28" s="39">
        <f>tblTracker[[#Totals],[19]]/COUNTA(tblTracker[[#Headers],[#Data],[19]])</f>
        <v>0.72727272727272729</v>
      </c>
      <c r="AA28" s="39">
        <f>tblTracker[[#Totals],[20]]/COUNTA(tblTracker[[#Headers],[#Data],[20]])</f>
        <v>0.72727272727272729</v>
      </c>
      <c r="AB28" s="40">
        <f>tblTracker[[#Totals],[21]]/COUNTA(tblTracker[[#Headers],[#Data],[21]])</f>
        <v>0.72727272727272729</v>
      </c>
      <c r="AC28" s="38">
        <f>tblTracker[[#Totals],[22]]/COUNTA(tblTracker[[#Headers],[#Data],[22]])</f>
        <v>0.81818181818181823</v>
      </c>
      <c r="AD28" s="39">
        <f>tblTracker[[#Totals],[23]]/COUNTA(tblTracker[[#Headers],[#Data],[23]])</f>
        <v>0.72727272727272729</v>
      </c>
      <c r="AE28" s="39">
        <f>tblTracker[[#Totals],[24]]/COUNTA(tblTracker[[#Headers],[#Data],[24]])</f>
        <v>0.72727272727272729</v>
      </c>
      <c r="AF28" s="39">
        <f>tblTracker[[#Totals],[25]]/COUNTA(tblTracker[[#Headers],[#Data],[25]])</f>
        <v>0.72727272727272729</v>
      </c>
      <c r="AG28" s="39">
        <f>tblTracker[[#Totals],[26]]/COUNTA(tblTracker[[#Headers],[#Data],[26]])</f>
        <v>0.72727272727272729</v>
      </c>
      <c r="AH28" s="39">
        <f>tblTracker[[#Totals],[27]]/COUNTA(tblTracker[[#Headers],[#Data],[27]])</f>
        <v>0.72727272727272729</v>
      </c>
      <c r="AI28" s="40">
        <f>tblTracker[[#Totals],[28]]/COUNTA(tblTracker[[#Headers],[#Data],[28]])</f>
        <v>0.72727272727272729</v>
      </c>
      <c r="AJ28" s="19">
        <f>tblTracker[[#Totals],[29]]/COUNTA(tblTracker[[#Headers],[#Data],[29]])</f>
        <v>0.72727272727272729</v>
      </c>
      <c r="AK28" s="19">
        <f>tblTracker[[#Totals],[30]]/COUNTA(tblTracker[[#Headers],[#Data],[30]])</f>
        <v>0.72727272727272729</v>
      </c>
      <c r="AL28" s="19">
        <f>tblTracker[[#Totals],[31]]/COUNTA(tblTracker[[#Headers],[#Data],[31]])</f>
        <v>0.81818181818181823</v>
      </c>
      <c r="AM28" s="10"/>
    </row>
    <row r="29" spans="2:39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</sheetData>
  <phoneticPr fontId="1" type="noConversion"/>
  <conditionalFormatting sqref="F17:F26">
    <cfRule type="dataBar" priority="4">
      <dataBar>
        <cfvo type="min"/>
        <cfvo type="max"/>
        <color theme="3" tint="0.89999084444715716"/>
      </dataBar>
      <extLst>
        <ext xmlns:x14="http://schemas.microsoft.com/office/spreadsheetml/2009/9/main" uri="{B025F937-C7B1-47D3-B67F-A62EFF666E3E}">
          <x14:id>{C2CF01C8-63E6-4F12-AF1E-330A51991A9D}</x14:id>
        </ext>
      </extLst>
    </cfRule>
  </conditionalFormatting>
  <conditionalFormatting sqref="G17:G26">
    <cfRule type="dataBar" priority="3">
      <dataBar>
        <cfvo type="min"/>
        <cfvo type="max"/>
        <color theme="3" tint="0.89999084444715716"/>
      </dataBar>
      <extLst>
        <ext xmlns:x14="http://schemas.microsoft.com/office/spreadsheetml/2009/9/main" uri="{B025F937-C7B1-47D3-B67F-A62EFF666E3E}">
          <x14:id>{95D780BE-2918-4474-ABF0-E3D07ED8C8BF}</x14:id>
        </ext>
      </extLst>
    </cfRule>
  </conditionalFormatting>
  <conditionalFormatting sqref="AJ13:AL28">
    <cfRule type="expression" dxfId="43" priority="2">
      <formula>AJ$15=""</formula>
    </cfRule>
  </conditionalFormatting>
  <conditionalFormatting sqref="H13:AL28">
    <cfRule type="expression" dxfId="0" priority="1">
      <formula>H$15=TODAY()</formula>
    </cfRule>
  </conditionalFormatting>
  <dataValidations count="1">
    <dataValidation type="list" allowBlank="1" showInputMessage="1" showErrorMessage="1" sqref="D4" xr:uid="{DA7CAE93-0942-4D52-9414-E7B6009726A6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CF01C8-63E6-4F12-AF1E-330A51991A9D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F17:F26</xm:sqref>
        </x14:conditionalFormatting>
        <x14:conditionalFormatting xmlns:xm="http://schemas.microsoft.com/office/excel/2006/main">
          <x14:cfRule type="dataBar" id="{95D780BE-2918-4474-ABF0-E3D07ED8C8BF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G17:G26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B438-CE2C-4245-8626-37E1C8EE6580}">
  <sheetPr>
    <tabColor theme="7" tint="0.79998168889431442"/>
  </sheetPr>
  <dimension ref="C3:D7"/>
  <sheetViews>
    <sheetView workbookViewId="0">
      <selection activeCell="I14" sqref="I14"/>
    </sheetView>
  </sheetViews>
  <sheetFormatPr defaultRowHeight="14.4" x14ac:dyDescent="0.3"/>
  <cols>
    <col min="3" max="3" width="13.5546875" bestFit="1" customWidth="1"/>
  </cols>
  <sheetData>
    <row r="3" spans="3:4" x14ac:dyDescent="0.3">
      <c r="C3" s="2" t="s">
        <v>69</v>
      </c>
      <c r="D3" s="2"/>
    </row>
    <row r="4" spans="3:4" x14ac:dyDescent="0.3">
      <c r="C4" s="3" t="s">
        <v>70</v>
      </c>
      <c r="D4" s="3" cm="1">
        <f t="array" aca="1" ref="D4" ca="1">_xlfn.XLOOKUP(TODAY(),Tracker!H15:AL15,tblTracker[[#Totals],[1]:[31]],0)</f>
        <v>8</v>
      </c>
    </row>
    <row r="5" spans="3:4" x14ac:dyDescent="0.3">
      <c r="C5" s="4" t="s">
        <v>71</v>
      </c>
      <c r="D5" s="4">
        <f ca="1">D6-D4</f>
        <v>2</v>
      </c>
    </row>
    <row r="6" spans="3:4" x14ac:dyDescent="0.3">
      <c r="C6" t="s">
        <v>67</v>
      </c>
      <c r="D6">
        <f>COUNTA(tblTracker[Daily Habits])</f>
        <v>10</v>
      </c>
    </row>
    <row r="7" spans="3:4" x14ac:dyDescent="0.3">
      <c r="C7" t="s">
        <v>68</v>
      </c>
      <c r="D7" s="1">
        <f ca="1">D4/D6</f>
        <v>0.8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neongrid</dc:creator>
  <cp:lastModifiedBy>neongrid</cp:lastModifiedBy>
  <dcterms:created xsi:type="dcterms:W3CDTF">2026-08-09T07:36:12Z</dcterms:created>
  <dcterms:modified xsi:type="dcterms:W3CDTF">2026-08-09T11:14:12Z</dcterms:modified>
</cp:coreProperties>
</file>